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Assumptions &amp; Guesstimate" sheetId="1" state="visible" r:id="rId3"/>
    <sheet name="2. Running Cost" sheetId="2" state="visible" r:id="rId4"/>
    <sheet name="3. Revenue Impact" sheetId="3" state="visible" r:id="rId5"/>
    <sheet name="4. Billing &amp; Margin" sheetId="4" state="visible" r:id="rId6"/>
    <sheet name="5. Monthly Audi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<sst xmlns="http://schemas.openxmlformats.org/spreadsheetml/2006/main" count="156" uniqueCount="144">
  <si>
    <t xml:space="preserve">Cheerio Growth Coach – Cost, Billing &amp; Audit Model</t>
  </si>
  <si>
    <t xml:space="preserve">All blue text / yellow cells are INPUTS you can change. Black text = formulas.</t>
  </si>
  <si>
    <t xml:space="preserve">CORE ASSUMPTIONS</t>
  </si>
  <si>
    <t xml:space="preserve">Parameter</t>
  </si>
  <si>
    <t xml:space="preserve">Value</t>
  </si>
  <si>
    <t xml:space="preserve">Notes / Source</t>
  </si>
  <si>
    <t xml:space="preserve">Total active businesses</t>
  </si>
  <si>
    <t xml:space="preserve">Given in assignment</t>
  </si>
  <si>
    <t xml:space="preserve">% of businesses that see the Coach each month</t>
  </si>
  <si>
    <t xml:space="preserve">Assumed: triggered after 3 campaigns or 14 days; realistic reach</t>
  </si>
  <si>
    <t xml:space="preserve">% of viewers who adopt ≥1 new feature</t>
  </si>
  <si>
    <t xml:space="preserve">Target conversion from contextual one-click setup</t>
  </si>
  <si>
    <t xml:space="preserve">Average monthly plan price (USD)</t>
  </si>
  <si>
    <t xml:space="preserve">Blended from public Cheerio tiers / lifetime deals + enterprise; conservative</t>
  </si>
  <si>
    <t xml:space="preserve">Current monthly churn rate (baseline)</t>
  </si>
  <si>
    <t xml:space="preserve">Industry typical for SMB marketing tools ~5-8%</t>
  </si>
  <si>
    <t xml:space="preserve">Retention improvement from multi-feature adoption</t>
  </si>
  <si>
    <t xml:space="preserve">Relative reduction in churn (10% better retention)</t>
  </si>
  <si>
    <t xml:space="preserve">Gross margin on subscription (pre-AI cost)</t>
  </si>
  <si>
    <t xml:space="preserve">Typical SaaS gross margin</t>
  </si>
  <si>
    <t xml:space="preserve">1. GUESSTIMATE – REACH &amp; ADOPTION</t>
  </si>
  <si>
    <t xml:space="preserve">Metric</t>
  </si>
  <si>
    <t xml:space="preserve">Calculation / Value</t>
  </si>
  <si>
    <t xml:space="preserve">Formula / Logic</t>
  </si>
  <si>
    <t xml:space="preserve">Businesses that see Coach each month</t>
  </si>
  <si>
    <t xml:space="preserve">Total active × % who see Coach</t>
  </si>
  <si>
    <t xml:space="preserve">Businesses that adopt ≥1 new feature / month</t>
  </si>
  <si>
    <t xml:space="preserve">Viewers × adoption rate</t>
  </si>
  <si>
    <t xml:space="preserve">Annual new feature adoptions (simple)</t>
  </si>
  <si>
    <t xml:space="preserve">Monthly adopters × 12 (does not account for saturation)</t>
  </si>
  <si>
    <t xml:space="preserve">2. RUNNING COST PER USER PER MONTH</t>
  </si>
  <si>
    <t xml:space="preserve">Includes AI token cost for personalised Coach recommendations</t>
  </si>
  <si>
    <t xml:space="preserve">AI TOKEN COST ASSUMPTIONS</t>
  </si>
  <si>
    <t xml:space="preserve">Source / Notes</t>
  </si>
  <si>
    <t xml:space="preserve">Model price per 1M input tokens (USD)</t>
  </si>
  <si>
    <t xml:space="preserve">Assumed mid-tier (e.g. GPT-4o-mini / Claude Haiku range); state your source</t>
  </si>
  <si>
    <t xml:space="preserve">Model price per 1M output tokens (USD)</t>
  </si>
  <si>
    <t xml:space="preserve">Assumed mid-tier</t>
  </si>
  <si>
    <t xml:space="preserve">Avg input tokens per Coach interaction</t>
  </si>
  <si>
    <t xml:space="preserve">Context: user stats + templates + prompt</t>
  </si>
  <si>
    <t xml:space="preserve">Avg output tokens per Coach interaction</t>
  </si>
  <si>
    <t xml:space="preserve">Recommendation + pre-filled copy</t>
  </si>
  <si>
    <t xml:space="preserve">Coach interactions per user per month</t>
  </si>
  <si>
    <t xml:space="preserve">Initial trigger + 1-2 follow-ups / next-feature suggestions</t>
  </si>
  <si>
    <t xml:space="preserve">% of users who trigger Coach (of active)</t>
  </si>
  <si>
    <t xml:space="preserve">Same as see-rate</t>
  </si>
  <si>
    <t xml:space="preserve">CALCULATED TOKEN COST</t>
  </si>
  <si>
    <t xml:space="preserve">Formula</t>
  </si>
  <si>
    <t xml:space="preserve">Cost per Coach interaction (USD)</t>
  </si>
  <si>
    <t xml:space="preserve">(input_price × input_tokens + output_price × output_tokens) / 1M</t>
  </si>
  <si>
    <t xml:space="preserve">AI cost per user who sees Coach / month</t>
  </si>
  <si>
    <t xml:space="preserve">Cost per interaction × interactions/month</t>
  </si>
  <si>
    <t xml:space="preserve">Blended AI cost across ALL active users / month</t>
  </si>
  <si>
    <t xml:space="preserve">Only charged for the % who trigger Coach</t>
  </si>
  <si>
    <t xml:space="preserve">OTHER RUNNING COSTS (non-AI)</t>
  </si>
  <si>
    <t xml:space="preserve">Infrastructure / storage / support allocation per user / month</t>
  </si>
  <si>
    <t xml:space="preserve">Conservative estimate for incremental feature cost</t>
  </si>
  <si>
    <t xml:space="preserve">TOTAL running cost per active user / month</t>
  </si>
  <si>
    <t xml:space="preserve">Blended AI + infra</t>
  </si>
  <si>
    <t xml:space="preserve">TOTAL monthly AI cost for 5,000 businesses</t>
  </si>
  <si>
    <t xml:space="preserve">Blended AI × total active</t>
  </si>
  <si>
    <t xml:space="preserve">3. REVENUE IMPACT FROM IMPROVED RETENTION</t>
  </si>
  <si>
    <t xml:space="preserve">INPUTS (linked conceptually to Sheet 1)</t>
  </si>
  <si>
    <t xml:space="preserve">Notes</t>
  </si>
  <si>
    <t xml:space="preserve">Active businesses</t>
  </si>
  <si>
    <t xml:space="preserve">Given</t>
  </si>
  <si>
    <t xml:space="preserve">Same as Sheet 1</t>
  </si>
  <si>
    <t xml:space="preserve">Baseline monthly churn</t>
  </si>
  <si>
    <t xml:space="preserve">6%</t>
  </si>
  <si>
    <t xml:space="preserve">Retention improvement (relative)</t>
  </si>
  <si>
    <t xml:space="preserve">10% better retention for multi-feature users</t>
  </si>
  <si>
    <t xml:space="preserve">% of base that becomes multi-feature (steady state)</t>
  </si>
  <si>
    <t xml:space="preserve">After 6–12 months of Coach</t>
  </si>
  <si>
    <t xml:space="preserve">CALCULATIONS</t>
  </si>
  <si>
    <t xml:space="preserve">Baseline monthly revenue</t>
  </si>
  <si>
    <t xml:space="preserve">Active × ARPU</t>
  </si>
  <si>
    <t xml:space="preserve">Baseline annual revenue</t>
  </si>
  <si>
    <t xml:space="preserve">Monthly × 12</t>
  </si>
  <si>
    <t xml:space="preserve">New churn rate for multi-feature cohort</t>
  </si>
  <si>
    <t xml:space="preserve">Baseline churn × (1 – improvement)</t>
  </si>
  <si>
    <t xml:space="preserve">Churn reduction (absolute points)</t>
  </si>
  <si>
    <t xml:space="preserve">Baseline – new churn</t>
  </si>
  <si>
    <t xml:space="preserve">Extra retained businesses per month (steady)</t>
  </si>
  <si>
    <t xml:space="preserve">Active × multi-feature % × absolute churn reduction</t>
  </si>
  <si>
    <t xml:space="preserve">Extra monthly revenue from retained users</t>
  </si>
  <si>
    <t xml:space="preserve">Extra retained × ARPU</t>
  </si>
  <si>
    <t xml:space="preserve">Extra annual revenue</t>
  </si>
  <si>
    <t xml:space="preserve">Monthly extra × 12</t>
  </si>
  <si>
    <t xml:space="preserve">SUMMARY</t>
  </si>
  <si>
    <t xml:space="preserve">If adoption improves retention by ~10% relative for 30% of base →</t>
  </si>
  <si>
    <t xml:space="preserve">Extra annual recurring revenue</t>
  </si>
  <si>
    <t xml:space="preserve">4. BILLING RECOMMENDATION &amp; MARGIN</t>
  </si>
  <si>
    <t xml:space="preserve">SHOULD THIS FEATURE BE FREE / HIGHER PLAN / PAID ADD-ON?</t>
  </si>
  <si>
    <t xml:space="preserve">Recommendation</t>
  </si>
  <si>
    <t xml:space="preserve">Include FREE in all paid plans (Growth &amp; above). Gate advanced templates / higher interaction volume behind higher tiers.</t>
  </si>
  <si>
    <t xml:space="preserve">Rationale</t>
  </si>
  <si>
    <t xml:space="preserve">1. Feature discovery is a retention &amp; expansion lever, not a pure monetisation feature.</t>
  </si>
  <si>
    <t xml:space="preserve">2. Making it free maximises adoption → higher retention → higher LTV (see Sheet 3).</t>
  </si>
  <si>
    <t xml:space="preserve">3. Incremental cost is very low (~$0.02–0.05 blended per user/month).</t>
  </si>
  <si>
    <t xml:space="preserve">4. Can still upsell: 'Premium Coach' with more templates, custom AI agents, priority support as paid add-on later.</t>
  </si>
  <si>
    <t xml:space="preserve">MARGIN ANALYSIS (per active user / month)</t>
  </si>
  <si>
    <t xml:space="preserve">Item</t>
  </si>
  <si>
    <t xml:space="preserve">USD</t>
  </si>
  <si>
    <t xml:space="preserve">Average revenue per user (ARPU)</t>
  </si>
  <si>
    <t xml:space="preserve">Gross margin before Coach (75%)</t>
  </si>
  <si>
    <t xml:space="preserve">Incremental Coach cost (from Sheet 2)</t>
  </si>
  <si>
    <t xml:space="preserve">Use value from Sheet 2 cell B21 (approx)</t>
  </si>
  <si>
    <t xml:space="preserve">Gross profit after Coach</t>
  </si>
  <si>
    <t xml:space="preserve">Gross margin % after Coach</t>
  </si>
  <si>
    <t xml:space="preserve">CONCLUSION: Margin impact is negligible (&lt;0.5 pts). Keep free to drive retention.</t>
  </si>
  <si>
    <t xml:space="preserve">5. MONTHLY AUDIT CHECKLIST – STAY PROFITABLE</t>
  </si>
  <si>
    <t xml:space="preserve">ALERTS &amp; CHECKS TO SET UP</t>
  </si>
  <si>
    <t xml:space="preserve">#</t>
  </si>
  <si>
    <t xml:space="preserve">Check / Alert</t>
  </si>
  <si>
    <t xml:space="preserve">Threshold / Action</t>
  </si>
  <si>
    <t xml:space="preserve">Owner</t>
  </si>
  <si>
    <t xml:space="preserve">AI token spend (total)</t>
  </si>
  <si>
    <t xml:space="preserve">Alert if &gt; $300 / month or &gt; $0.08 blended per active user</t>
  </si>
  <si>
    <t xml:space="preserve">Eng + Finance</t>
  </si>
  <si>
    <t xml:space="preserve">Adoption rate of Coach</t>
  </si>
  <si>
    <t xml:space="preserve">If &lt; 15% of eligible users activate a feature in 30 days → review UX / copy</t>
  </si>
  <si>
    <t xml:space="preserve">Product</t>
  </si>
  <si>
    <t xml:space="preserve">Feature activation → retention correlation</t>
  </si>
  <si>
    <t xml:space="preserve">Track 30/60/90-day retention of adopters vs non-adopters monthly</t>
  </si>
  <si>
    <t xml:space="preserve">Data / Growth</t>
  </si>
  <si>
    <t xml:space="preserve">Cost per activated journey</t>
  </si>
  <si>
    <t xml:space="preserve">Should stay &lt; $0.05; if model prices rise, switch to cheaper model or cache templates</t>
  </si>
  <si>
    <t xml:space="preserve">Eng</t>
  </si>
  <si>
    <t xml:space="preserve">Support tickets related to Coach</t>
  </si>
  <si>
    <t xml:space="preserve">Spike &gt; 5% of Coach users → pause rollout or add tooltip fixes</t>
  </si>
  <si>
    <t xml:space="preserve">Support + Product</t>
  </si>
  <si>
    <t xml:space="preserve">Gross margin after Coach costs</t>
  </si>
  <si>
    <t xml:space="preserve">Must stay &gt; 70%. If drops below, consider moving advanced Coach to paid tier</t>
  </si>
  <si>
    <t xml:space="preserve">Finance</t>
  </si>
  <si>
    <t xml:space="preserve">Churn of multi-feature users</t>
  </si>
  <si>
    <t xml:space="preserve">Should be ≥10% lower than single-feature users; investigate if not</t>
  </si>
  <si>
    <t xml:space="preserve">Growth</t>
  </si>
  <si>
    <t xml:space="preserve">Template performance</t>
  </si>
  <si>
    <t xml:space="preserve">Retire templates with &lt;10% activation or poor recovery rates quarterly</t>
  </si>
  <si>
    <t xml:space="preserve">PROCESS</t>
  </si>
  <si>
    <t xml:space="preserve">1. First week of every month: Finance pulls token bill + calculates blended cost per active user.</t>
  </si>
  <si>
    <t xml:space="preserve">2. Product reviews adoption dashboard and retention cohort charts.</t>
  </si>
  <si>
    <t xml:space="preserve">3. Shared Slack channel #coach-audit gets automated weekly summary (tokens, activations, top templates).</t>
  </si>
  <si>
    <t xml:space="preserve">4. Quarterly business review: decide whether to keep free, add paid tier, or expand to more channels.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</si>
</sst>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.00"/>
    <numFmt numFmtId="168" formatCode="\$#,##0.0000"/>
    <numFmt numFmtId="169" formatCode="\$#,##0"/>
    <numFmt numFmtId="170" formatCode="0.00%"/>
    <numFmt numFmtId="171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EEF2FF"/>
        <bgColor rgb="FFFFFFFF"/>
      </patternFill>
    </fill>
    <fill>
      <patternFill patternType="solid">
        <fgColor rgb="FFFEF08A"/>
        <bgColor rgb="FFFFFFCC"/>
      </patternFill>
    </fill>
    <fill>
      <patternFill patternType="solid">
        <fgColor rgb="FF10B981"/>
        <bgColor rgb="FF33CCCC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EF08A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7.3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0" t="s">
        <v>6</v>
      </c>
      <c r="B6" s="5" t="n">
        <v>5000</v>
      </c>
      <c r="C6" s="6" t="s">
        <v>7</v>
      </c>
    </row>
    <row r="7" customFormat="false" ht="15" hidden="false" customHeight="false" outlineLevel="0" collapsed="false">
      <c r="A7" s="0" t="s">
        <v>8</v>
      </c>
      <c r="B7" s="7" t="n">
        <v>0.4</v>
      </c>
      <c r="C7" s="6" t="s">
        <v>9</v>
      </c>
    </row>
    <row r="8" customFormat="false" ht="15" hidden="false" customHeight="false" outlineLevel="0" collapsed="false">
      <c r="A8" s="0" t="s">
        <v>10</v>
      </c>
      <c r="B8" s="7" t="n">
        <v>0.25</v>
      </c>
      <c r="C8" s="6" t="s">
        <v>11</v>
      </c>
    </row>
    <row r="9" customFormat="false" ht="15" hidden="false" customHeight="false" outlineLevel="0" collapsed="false">
      <c r="A9" s="0" t="s">
        <v>12</v>
      </c>
      <c r="B9" s="8" t="n">
        <v>140</v>
      </c>
      <c r="C9" s="6" t="s">
        <v>13</v>
      </c>
    </row>
    <row r="10" customFormat="false" ht="15" hidden="false" customHeight="false" outlineLevel="0" collapsed="false">
      <c r="A10" s="0" t="s">
        <v>14</v>
      </c>
      <c r="B10" s="7" t="n">
        <v>0.06</v>
      </c>
      <c r="C10" s="6" t="s">
        <v>15</v>
      </c>
    </row>
    <row r="11" customFormat="false" ht="15" hidden="false" customHeight="false" outlineLevel="0" collapsed="false">
      <c r="A11" s="0" t="s">
        <v>16</v>
      </c>
      <c r="B11" s="7" t="n">
        <v>0.1</v>
      </c>
      <c r="C11" s="6" t="s">
        <v>17</v>
      </c>
    </row>
    <row r="12" customFormat="false" ht="15" hidden="false" customHeight="false" outlineLevel="0" collapsed="false">
      <c r="A12" s="0" t="s">
        <v>18</v>
      </c>
      <c r="B12" s="7" t="n">
        <v>0.75</v>
      </c>
      <c r="C12" s="6" t="s">
        <v>19</v>
      </c>
    </row>
    <row r="15" customFormat="false" ht="17.35" hidden="false" customHeight="false" outlineLevel="0" collapsed="false">
      <c r="A15" s="3" t="s">
        <v>20</v>
      </c>
      <c r="B15" s="3"/>
      <c r="C15" s="3"/>
    </row>
    <row r="16" customFormat="false" ht="15" hidden="false" customHeight="false" outlineLevel="0" collapsed="false">
      <c r="A16" s="4" t="s">
        <v>21</v>
      </c>
      <c r="B16" s="4" t="s">
        <v>22</v>
      </c>
      <c r="C16" s="4" t="s">
        <v>23</v>
      </c>
    </row>
    <row r="17" customFormat="false" ht="15" hidden="false" customHeight="false" outlineLevel="0" collapsed="false">
      <c r="A17" s="0" t="s">
        <v>24</v>
      </c>
      <c r="B17" s="9" t="n">
        <f aca="false">B6*B7</f>
        <v>2000</v>
      </c>
      <c r="C17" s="6" t="s">
        <v>25</v>
      </c>
    </row>
    <row r="18" customFormat="false" ht="15" hidden="false" customHeight="false" outlineLevel="0" collapsed="false">
      <c r="A18" s="0" t="s">
        <v>26</v>
      </c>
      <c r="B18" s="9" t="n">
        <f aca="false">B17*B8</f>
        <v>500</v>
      </c>
      <c r="C18" s="6" t="s">
        <v>27</v>
      </c>
    </row>
    <row r="19" customFormat="false" ht="15" hidden="false" customHeight="false" outlineLevel="0" collapsed="false">
      <c r="A19" s="0" t="s">
        <v>28</v>
      </c>
      <c r="B19" s="9" t="n">
        <f aca="false">B18*12</f>
        <v>6000</v>
      </c>
      <c r="C19" s="6" t="s">
        <v>29</v>
      </c>
    </row>
  </sheetData>
  <mergeCells count="4">
    <mergeCell ref="A1:F1"/>
    <mergeCell ref="A2:F2"/>
    <mergeCell ref="A4:C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15"/>
  </cols>
  <sheetData>
    <row r="1" customFormat="false" ht="19.7" hidden="false" customHeight="false" outlineLevel="0" collapsed="false">
      <c r="A1" s="1" t="s">
        <v>30</v>
      </c>
      <c r="B1" s="1"/>
      <c r="C1" s="1"/>
      <c r="D1" s="1"/>
      <c r="E1" s="1"/>
    </row>
    <row r="2" customFormat="false" ht="15" hidden="false" customHeight="false" outlineLevel="0" collapsed="false">
      <c r="A2" s="10" t="s">
        <v>31</v>
      </c>
    </row>
    <row r="4" customFormat="false" ht="17.35" hidden="false" customHeight="false" outlineLevel="0" collapsed="false">
      <c r="A4" s="3" t="s">
        <v>32</v>
      </c>
      <c r="B4" s="3"/>
      <c r="C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33</v>
      </c>
    </row>
    <row r="6" customFormat="false" ht="15" hidden="false" customHeight="false" outlineLevel="0" collapsed="false">
      <c r="A6" s="0" t="s">
        <v>34</v>
      </c>
      <c r="B6" s="8" t="n">
        <v>0.5</v>
      </c>
      <c r="C6" s="6" t="s">
        <v>35</v>
      </c>
    </row>
    <row r="7" customFormat="false" ht="15" hidden="false" customHeight="false" outlineLevel="0" collapsed="false">
      <c r="A7" s="0" t="s">
        <v>36</v>
      </c>
      <c r="B7" s="8" t="n">
        <v>1.5</v>
      </c>
      <c r="C7" s="6" t="s">
        <v>37</v>
      </c>
    </row>
    <row r="8" customFormat="false" ht="15" hidden="false" customHeight="false" outlineLevel="0" collapsed="false">
      <c r="A8" s="0" t="s">
        <v>38</v>
      </c>
      <c r="B8" s="5" t="n">
        <v>1200</v>
      </c>
      <c r="C8" s="6" t="s">
        <v>39</v>
      </c>
    </row>
    <row r="9" customFormat="false" ht="15" hidden="false" customHeight="false" outlineLevel="0" collapsed="false">
      <c r="A9" s="0" t="s">
        <v>40</v>
      </c>
      <c r="B9" s="5" t="n">
        <v>400</v>
      </c>
      <c r="C9" s="6" t="s">
        <v>41</v>
      </c>
    </row>
    <row r="10" customFormat="false" ht="15" hidden="false" customHeight="false" outlineLevel="0" collapsed="false">
      <c r="A10" s="0" t="s">
        <v>42</v>
      </c>
      <c r="B10" s="5" t="n">
        <v>3</v>
      </c>
      <c r="C10" s="6" t="s">
        <v>43</v>
      </c>
    </row>
    <row r="11" customFormat="false" ht="15" hidden="false" customHeight="false" outlineLevel="0" collapsed="false">
      <c r="A11" s="0" t="s">
        <v>44</v>
      </c>
      <c r="B11" s="7" t="n">
        <v>0.4</v>
      </c>
      <c r="C11" s="6" t="s">
        <v>45</v>
      </c>
    </row>
    <row r="13" customFormat="false" ht="17.35" hidden="false" customHeight="false" outlineLevel="0" collapsed="false">
      <c r="A13" s="3" t="s">
        <v>46</v>
      </c>
      <c r="B13" s="3"/>
      <c r="C13" s="3"/>
    </row>
    <row r="14" customFormat="false" ht="15" hidden="false" customHeight="false" outlineLevel="0" collapsed="false">
      <c r="A14" s="4" t="s">
        <v>21</v>
      </c>
      <c r="B14" s="4" t="s">
        <v>4</v>
      </c>
      <c r="C14" s="4" t="s">
        <v>47</v>
      </c>
    </row>
    <row r="15" customFormat="false" ht="15" hidden="false" customHeight="false" outlineLevel="0" collapsed="false">
      <c r="A15" s="0" t="s">
        <v>48</v>
      </c>
      <c r="B15" s="11" t="n">
        <f aca="false">(B6*B8/1000000)+(B7*B9/1000000)</f>
        <v>0.0012</v>
      </c>
      <c r="C15" s="6" t="s">
        <v>49</v>
      </c>
    </row>
    <row r="16" customFormat="false" ht="15" hidden="false" customHeight="false" outlineLevel="0" collapsed="false">
      <c r="A16" s="0" t="s">
        <v>50</v>
      </c>
      <c r="B16" s="11" t="n">
        <f aca="false">B15*B10</f>
        <v>0.0036</v>
      </c>
      <c r="C16" s="6" t="s">
        <v>51</v>
      </c>
    </row>
    <row r="17" customFormat="false" ht="15" hidden="false" customHeight="false" outlineLevel="0" collapsed="false">
      <c r="A17" s="0" t="s">
        <v>52</v>
      </c>
      <c r="B17" s="11" t="n">
        <f aca="false">B16*B11</f>
        <v>0.00144</v>
      </c>
      <c r="C17" s="6" t="s">
        <v>53</v>
      </c>
    </row>
    <row r="19" customFormat="false" ht="17.35" hidden="false" customHeight="false" outlineLevel="0" collapsed="false">
      <c r="A19" s="3" t="s">
        <v>54</v>
      </c>
      <c r="B19" s="3"/>
      <c r="C19" s="3"/>
    </row>
    <row r="20" customFormat="false" ht="15" hidden="false" customHeight="false" outlineLevel="0" collapsed="false">
      <c r="A20" s="0" t="s">
        <v>55</v>
      </c>
      <c r="B20" s="8" t="n">
        <v>0.4</v>
      </c>
      <c r="C20" s="6" t="s">
        <v>56</v>
      </c>
    </row>
    <row r="21" customFormat="false" ht="15" hidden="false" customHeight="false" outlineLevel="0" collapsed="false">
      <c r="A21" s="0" t="s">
        <v>57</v>
      </c>
      <c r="B21" s="11" t="n">
        <f aca="false">B17+B20</f>
        <v>0.40144</v>
      </c>
      <c r="C21" s="6" t="s">
        <v>58</v>
      </c>
    </row>
    <row r="23" customFormat="false" ht="15" hidden="false" customHeight="false" outlineLevel="0" collapsed="false">
      <c r="A23" s="0" t="s">
        <v>59</v>
      </c>
      <c r="B23" s="12" t="n">
        <f aca="false">B17*5000</f>
        <v>7.2</v>
      </c>
      <c r="C23" s="6" t="s">
        <v>60</v>
      </c>
    </row>
  </sheetData>
  <mergeCells count="4">
    <mergeCell ref="A1:E1"/>
    <mergeCell ref="A4:C4"/>
    <mergeCell ref="A13:C13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15"/>
  </cols>
  <sheetData>
    <row r="1" customFormat="false" ht="19.7" hidden="false" customHeight="false" outlineLevel="0" collapsed="false">
      <c r="A1" s="1" t="s">
        <v>61</v>
      </c>
      <c r="B1" s="1"/>
      <c r="C1" s="1"/>
      <c r="D1" s="1"/>
    </row>
    <row r="3" customFormat="false" ht="17.35" hidden="false" customHeight="false" outlineLevel="0" collapsed="false">
      <c r="A3" s="3" t="s">
        <v>62</v>
      </c>
      <c r="B3" s="3"/>
      <c r="C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63</v>
      </c>
    </row>
    <row r="5" customFormat="false" ht="15" hidden="false" customHeight="false" outlineLevel="0" collapsed="false">
      <c r="A5" s="0" t="s">
        <v>64</v>
      </c>
      <c r="B5" s="5" t="n">
        <v>5000</v>
      </c>
      <c r="C5" s="6" t="s">
        <v>65</v>
      </c>
    </row>
    <row r="6" customFormat="false" ht="15" hidden="false" customHeight="false" outlineLevel="0" collapsed="false">
      <c r="A6" s="0" t="s">
        <v>12</v>
      </c>
      <c r="B6" s="8" t="n">
        <v>140</v>
      </c>
      <c r="C6" s="6" t="s">
        <v>66</v>
      </c>
    </row>
    <row r="7" customFormat="false" ht="15" hidden="false" customHeight="false" outlineLevel="0" collapsed="false">
      <c r="A7" s="0" t="s">
        <v>67</v>
      </c>
      <c r="B7" s="7" t="n">
        <v>0.06</v>
      </c>
      <c r="C7" s="6" t="s">
        <v>68</v>
      </c>
    </row>
    <row r="8" customFormat="false" ht="15" hidden="false" customHeight="false" outlineLevel="0" collapsed="false">
      <c r="A8" s="0" t="s">
        <v>69</v>
      </c>
      <c r="B8" s="7" t="n">
        <v>0.1</v>
      </c>
      <c r="C8" s="6" t="s">
        <v>70</v>
      </c>
    </row>
    <row r="9" customFormat="false" ht="15" hidden="false" customHeight="false" outlineLevel="0" collapsed="false">
      <c r="A9" s="0" t="s">
        <v>71</v>
      </c>
      <c r="B9" s="7" t="n">
        <v>0.3</v>
      </c>
      <c r="C9" s="6" t="s">
        <v>72</v>
      </c>
    </row>
    <row r="12" customFormat="false" ht="17.35" hidden="false" customHeight="false" outlineLevel="0" collapsed="false">
      <c r="A12" s="3" t="s">
        <v>73</v>
      </c>
      <c r="B12" s="3"/>
      <c r="C12" s="3"/>
    </row>
    <row r="13" customFormat="false" ht="15" hidden="false" customHeight="false" outlineLevel="0" collapsed="false">
      <c r="A13" s="4" t="s">
        <v>21</v>
      </c>
      <c r="B13" s="4" t="s">
        <v>4</v>
      </c>
      <c r="C13" s="4" t="s">
        <v>23</v>
      </c>
    </row>
    <row r="14" customFormat="false" ht="15" hidden="false" customHeight="false" outlineLevel="0" collapsed="false">
      <c r="A14" s="0" t="s">
        <v>74</v>
      </c>
      <c r="B14" s="13" t="n">
        <f aca="false">B5*B6</f>
        <v>700000</v>
      </c>
      <c r="C14" s="6" t="s">
        <v>75</v>
      </c>
    </row>
    <row r="15" customFormat="false" ht="15" hidden="false" customHeight="false" outlineLevel="0" collapsed="false">
      <c r="A15" s="0" t="s">
        <v>76</v>
      </c>
      <c r="B15" s="13" t="n">
        <f aca="false">B14*12</f>
        <v>8400000</v>
      </c>
      <c r="C15" s="6" t="s">
        <v>77</v>
      </c>
    </row>
    <row r="16" customFormat="false" ht="15" hidden="false" customHeight="false" outlineLevel="0" collapsed="false">
      <c r="A16" s="0" t="s">
        <v>78</v>
      </c>
      <c r="B16" s="14" t="n">
        <f aca="false">B7*(1-B8)</f>
        <v>0.054</v>
      </c>
      <c r="C16" s="6" t="s">
        <v>79</v>
      </c>
    </row>
    <row r="17" customFormat="false" ht="15" hidden="false" customHeight="false" outlineLevel="0" collapsed="false">
      <c r="A17" s="0" t="s">
        <v>80</v>
      </c>
      <c r="B17" s="14" t="n">
        <f aca="false">B7-B16</f>
        <v>0.006</v>
      </c>
      <c r="C17" s="6" t="s">
        <v>81</v>
      </c>
    </row>
    <row r="18" customFormat="false" ht="15" hidden="false" customHeight="false" outlineLevel="0" collapsed="false">
      <c r="A18" s="0" t="s">
        <v>82</v>
      </c>
      <c r="B18" s="15" t="n">
        <f aca="false">B5*B9*B17</f>
        <v>9</v>
      </c>
      <c r="C18" s="6" t="s">
        <v>83</v>
      </c>
    </row>
    <row r="19" customFormat="false" ht="15" hidden="false" customHeight="false" outlineLevel="0" collapsed="false">
      <c r="A19" s="0" t="s">
        <v>84</v>
      </c>
      <c r="B19" s="13" t="n">
        <f aca="false">B18*B6</f>
        <v>1260</v>
      </c>
      <c r="C19" s="6" t="s">
        <v>85</v>
      </c>
    </row>
    <row r="20" customFormat="false" ht="15" hidden="false" customHeight="false" outlineLevel="0" collapsed="false">
      <c r="A20" s="0" t="s">
        <v>86</v>
      </c>
      <c r="B20" s="13" t="n">
        <f aca="false">B19*12</f>
        <v>15120</v>
      </c>
      <c r="C20" s="6" t="s">
        <v>87</v>
      </c>
    </row>
    <row r="22" customFormat="false" ht="17.35" hidden="false" customHeight="false" outlineLevel="0" collapsed="false">
      <c r="A22" s="16" t="s">
        <v>88</v>
      </c>
      <c r="B22" s="16"/>
      <c r="C22" s="16"/>
    </row>
    <row r="23" customFormat="false" ht="15" hidden="false" customHeight="false" outlineLevel="0" collapsed="false">
      <c r="A23" s="0" t="s">
        <v>89</v>
      </c>
      <c r="B23" s="17" t="n">
        <f aca="false">B20</f>
        <v>15120</v>
      </c>
      <c r="C23" s="6" t="s">
        <v>90</v>
      </c>
    </row>
  </sheetData>
  <mergeCells count="4">
    <mergeCell ref="A1:D1"/>
    <mergeCell ref="A3:C3"/>
    <mergeCell ref="A12:C12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15"/>
  </cols>
  <sheetData>
    <row r="1" customFormat="false" ht="19.7" hidden="false" customHeight="false" outlineLevel="0" collapsed="false">
      <c r="A1" s="1" t="s">
        <v>91</v>
      </c>
      <c r="B1" s="1"/>
      <c r="C1" s="1"/>
      <c r="D1" s="1"/>
    </row>
    <row r="3" customFormat="false" ht="17.35" hidden="false" customHeight="false" outlineLevel="0" collapsed="false">
      <c r="A3" s="3" t="s">
        <v>92</v>
      </c>
      <c r="B3" s="3"/>
      <c r="C3" s="3"/>
    </row>
    <row r="5" customFormat="false" ht="15" hidden="false" customHeight="false" outlineLevel="0" collapsed="false">
      <c r="A5" s="0" t="s">
        <v>93</v>
      </c>
      <c r="B5" s="18" t="s">
        <v>94</v>
      </c>
      <c r="C5" s="18"/>
      <c r="D5" s="18"/>
    </row>
    <row r="7" customFormat="false" ht="15" hidden="false" customHeight="false" outlineLevel="0" collapsed="false">
      <c r="A7" s="19" t="s">
        <v>95</v>
      </c>
    </row>
    <row r="8" customFormat="false" ht="15" hidden="false" customHeight="false" outlineLevel="0" collapsed="false">
      <c r="A8" s="0" t="s">
        <v>96</v>
      </c>
    </row>
    <row r="9" customFormat="false" ht="15" hidden="false" customHeight="false" outlineLevel="0" collapsed="false">
      <c r="A9" s="0" t="s">
        <v>97</v>
      </c>
    </row>
    <row r="10" customFormat="false" ht="15" hidden="false" customHeight="false" outlineLevel="0" collapsed="false">
      <c r="A10" s="0" t="s">
        <v>98</v>
      </c>
    </row>
    <row r="11" customFormat="false" ht="15" hidden="false" customHeight="false" outlineLevel="0" collapsed="false">
      <c r="A11" s="0" t="s">
        <v>99</v>
      </c>
    </row>
    <row r="14" customFormat="false" ht="17.35" hidden="false" customHeight="false" outlineLevel="0" collapsed="false">
      <c r="A14" s="3" t="s">
        <v>100</v>
      </c>
      <c r="B14" s="3"/>
      <c r="C14" s="3"/>
    </row>
    <row r="15" customFormat="false" ht="15" hidden="false" customHeight="false" outlineLevel="0" collapsed="false">
      <c r="A15" s="4" t="s">
        <v>101</v>
      </c>
      <c r="B15" s="4" t="s">
        <v>102</v>
      </c>
      <c r="C15" s="4" t="s">
        <v>63</v>
      </c>
    </row>
    <row r="16" customFormat="false" ht="15" hidden="false" customHeight="false" outlineLevel="0" collapsed="false">
      <c r="A16" s="0" t="s">
        <v>103</v>
      </c>
      <c r="B16" s="8" t="n">
        <v>140</v>
      </c>
    </row>
    <row r="17" customFormat="false" ht="15" hidden="false" customHeight="false" outlineLevel="0" collapsed="false">
      <c r="A17" s="0" t="s">
        <v>104</v>
      </c>
      <c r="B17" s="12" t="n">
        <f aca="false">B16*0.75</f>
        <v>105</v>
      </c>
    </row>
    <row r="18" customFormat="false" ht="15" hidden="false" customHeight="false" outlineLevel="0" collapsed="false">
      <c r="A18" s="0" t="s">
        <v>105</v>
      </c>
      <c r="B18" s="20" t="n">
        <v>0.45</v>
      </c>
      <c r="C18" s="6" t="s">
        <v>106</v>
      </c>
    </row>
    <row r="19" customFormat="false" ht="15" hidden="false" customHeight="false" outlineLevel="0" collapsed="false">
      <c r="A19" s="0" t="s">
        <v>107</v>
      </c>
      <c r="B19" s="12" t="n">
        <f aca="false">B17-B18</f>
        <v>104.55</v>
      </c>
    </row>
    <row r="20" customFormat="false" ht="15" hidden="false" customHeight="false" outlineLevel="0" collapsed="false">
      <c r="A20" s="0" t="s">
        <v>108</v>
      </c>
      <c r="B20" s="21" t="n">
        <f aca="false">B19/B16</f>
        <v>0.746785714285714</v>
      </c>
    </row>
    <row r="22" customFormat="false" ht="15" hidden="false" customHeight="false" outlineLevel="0" collapsed="false">
      <c r="A22" s="22" t="s">
        <v>109</v>
      </c>
      <c r="B22" s="22"/>
      <c r="C22" s="22"/>
    </row>
  </sheetData>
  <mergeCells count="5">
    <mergeCell ref="A1:D1"/>
    <mergeCell ref="A3:C3"/>
    <mergeCell ref="B5:D5"/>
    <mergeCell ref="A14:C14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15"/>
  </cols>
  <sheetData>
    <row r="1" customFormat="false" ht="19.7" hidden="false" customHeight="false" outlineLevel="0" collapsed="false">
      <c r="A1" s="1" t="s">
        <v>110</v>
      </c>
      <c r="B1" s="1"/>
      <c r="C1" s="1"/>
      <c r="D1" s="1"/>
    </row>
    <row r="3" customFormat="false" ht="17.35" hidden="false" customHeight="false" outlineLevel="0" collapsed="false">
      <c r="A3" s="3" t="s">
        <v>111</v>
      </c>
      <c r="B3" s="3"/>
      <c r="C3" s="3"/>
    </row>
    <row r="5" customFormat="false" ht="15" hidden="false" customHeight="false" outlineLevel="0" collapsed="false">
      <c r="A5" s="4" t="s">
        <v>112</v>
      </c>
      <c r="B5" s="4" t="s">
        <v>113</v>
      </c>
      <c r="C5" s="4" t="s">
        <v>114</v>
      </c>
      <c r="D5" s="4" t="s">
        <v>115</v>
      </c>
    </row>
    <row r="6" customFormat="false" ht="15" hidden="false" customHeight="false" outlineLevel="0" collapsed="false">
      <c r="A6" s="23" t="n">
        <v>1</v>
      </c>
      <c r="B6" s="23" t="s">
        <v>116</v>
      </c>
      <c r="C6" s="23" t="s">
        <v>117</v>
      </c>
      <c r="D6" s="23" t="s">
        <v>118</v>
      </c>
    </row>
    <row r="7" customFormat="false" ht="15" hidden="false" customHeight="false" outlineLevel="0" collapsed="false">
      <c r="A7" s="23" t="n">
        <v>2</v>
      </c>
      <c r="B7" s="23" t="s">
        <v>119</v>
      </c>
      <c r="C7" s="23" t="s">
        <v>120</v>
      </c>
      <c r="D7" s="23" t="s">
        <v>121</v>
      </c>
    </row>
    <row r="8" customFormat="false" ht="15" hidden="false" customHeight="false" outlineLevel="0" collapsed="false">
      <c r="A8" s="23" t="n">
        <v>3</v>
      </c>
      <c r="B8" s="23" t="s">
        <v>122</v>
      </c>
      <c r="C8" s="23" t="s">
        <v>123</v>
      </c>
      <c r="D8" s="23" t="s">
        <v>124</v>
      </c>
    </row>
    <row r="9" customFormat="false" ht="15" hidden="false" customHeight="false" outlineLevel="0" collapsed="false">
      <c r="A9" s="23" t="n">
        <v>4</v>
      </c>
      <c r="B9" s="23" t="s">
        <v>125</v>
      </c>
      <c r="C9" s="23" t="s">
        <v>126</v>
      </c>
      <c r="D9" s="23" t="s">
        <v>127</v>
      </c>
    </row>
    <row r="10" customFormat="false" ht="15" hidden="false" customHeight="false" outlineLevel="0" collapsed="false">
      <c r="A10" s="23" t="n">
        <v>5</v>
      </c>
      <c r="B10" s="23" t="s">
        <v>128</v>
      </c>
      <c r="C10" s="23" t="s">
        <v>129</v>
      </c>
      <c r="D10" s="23" t="s">
        <v>130</v>
      </c>
    </row>
    <row r="11" customFormat="false" ht="15" hidden="false" customHeight="false" outlineLevel="0" collapsed="false">
      <c r="A11" s="23" t="n">
        <v>6</v>
      </c>
      <c r="B11" s="23" t="s">
        <v>131</v>
      </c>
      <c r="C11" s="23" t="s">
        <v>132</v>
      </c>
      <c r="D11" s="23" t="s">
        <v>133</v>
      </c>
    </row>
    <row r="12" customFormat="false" ht="15" hidden="false" customHeight="false" outlineLevel="0" collapsed="false">
      <c r="A12" s="23" t="n">
        <v>7</v>
      </c>
      <c r="B12" s="23" t="s">
        <v>134</v>
      </c>
      <c r="C12" s="23" t="s">
        <v>135</v>
      </c>
      <c r="D12" s="23" t="s">
        <v>136</v>
      </c>
    </row>
    <row r="13" customFormat="false" ht="15" hidden="false" customHeight="false" outlineLevel="0" collapsed="false">
      <c r="A13" s="23" t="n">
        <v>8</v>
      </c>
      <c r="B13" s="23" t="s">
        <v>137</v>
      </c>
      <c r="C13" s="23" t="s">
        <v>138</v>
      </c>
      <c r="D13" s="23" t="s">
        <v>121</v>
      </c>
    </row>
    <row r="16" customFormat="false" ht="17.35" hidden="false" customHeight="false" outlineLevel="0" collapsed="false">
      <c r="A16" s="3" t="s">
        <v>139</v>
      </c>
      <c r="B16" s="3"/>
      <c r="C16" s="3"/>
    </row>
    <row r="17" customFormat="false" ht="15" hidden="false" customHeight="false" outlineLevel="0" collapsed="false">
      <c r="A17" s="0" t="s">
        <v>140</v>
      </c>
    </row>
    <row r="18" customFormat="false" ht="15" hidden="false" customHeight="false" outlineLevel="0" collapsed="false">
      <c r="A18" s="0" t="s">
        <v>141</v>
      </c>
    </row>
    <row r="19" customFormat="false" ht="15" hidden="false" customHeight="false" outlineLevel="0" collapsed="false">
      <c r="A19" s="0" t="s">
        <v>142</v>
      </c>
    </row>
    <row r="20" customFormat="false" ht="15" hidden="false" customHeight="false" outlineLevel="0" collapsed="false">
      <c r="A20" s="0" t="s">
        <v>143</v>
      </c>
    </row>
  </sheetData>
  <mergeCells count="3">
    <mergeCell ref="A1:D1"/>
    <mergeCell ref="A3:C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2026-10-14T07:12:02Z</dcterms:created>
  <dc:creator>openpyxl</dc:creator>
  <dc:description/>
  <dc:language>en-US</dc:language>
  <cp:lastModifiedBy/>
  <dcterms:modified xsi:type="dcterms:W3CDTF">2026-10-14T07:12:02Z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